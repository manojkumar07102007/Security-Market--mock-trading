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a2066119f042dd/SM Trading/"/>
    </mc:Choice>
  </mc:AlternateContent>
  <xr:revisionPtr revIDLastSave="0" documentId="8_{E28D6583-E05A-44EE-BF94-263AE6D84D3B}" xr6:coauthVersionLast="47" xr6:coauthVersionMax="47" xr10:uidLastSave="{00000000-0000-0000-0000-000000000000}"/>
  <bookViews>
    <workbookView xWindow="-120" yWindow="-120" windowWidth="24240" windowHeight="13020" firstSheet="2" activeTab="2" xr2:uid="{05D33426-35FD-473C-AA51-DD0E569C2267}"/>
  </bookViews>
  <sheets>
    <sheet name="Sheet1" sheetId="1" r:id="rId1"/>
    <sheet name="Share Price Observation table" sheetId="2" r:id="rId2"/>
    <sheet name="Comparing Invesetment Op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G22" i="3"/>
  <c r="C21" i="3"/>
  <c r="D21" i="3"/>
  <c r="E21" i="3"/>
  <c r="G21" i="3"/>
  <c r="D22" i="3"/>
  <c r="E22" i="3"/>
  <c r="F22" i="3"/>
  <c r="C22" i="3"/>
  <c r="G16" i="3"/>
  <c r="G13" i="3"/>
  <c r="G14" i="3"/>
  <c r="G15" i="3"/>
  <c r="F13" i="3"/>
  <c r="F14" i="3"/>
  <c r="F15" i="3"/>
  <c r="F16" i="3"/>
  <c r="E13" i="3"/>
  <c r="E14" i="3"/>
  <c r="E15" i="3"/>
  <c r="E16" i="3"/>
  <c r="D13" i="3"/>
  <c r="D14" i="3"/>
  <c r="D15" i="3"/>
  <c r="D16" i="3"/>
  <c r="C16" i="3"/>
  <c r="C13" i="3"/>
  <c r="C14" i="3"/>
  <c r="C15" i="3"/>
  <c r="G12" i="3"/>
  <c r="F12" i="3"/>
  <c r="E12" i="3"/>
  <c r="D12" i="3"/>
  <c r="C12" i="3"/>
  <c r="F7" i="2"/>
  <c r="F6" i="2"/>
  <c r="F5" i="2"/>
  <c r="F4" i="2"/>
  <c r="F3" i="2"/>
</calcChain>
</file>

<file path=xl/sharedStrings.xml><?xml version="1.0" encoding="utf-8"?>
<sst xmlns="http://schemas.openxmlformats.org/spreadsheetml/2006/main" count="185" uniqueCount="105">
  <si>
    <t>S.No</t>
  </si>
  <si>
    <t>Company Name</t>
  </si>
  <si>
    <t>Sector</t>
  </si>
  <si>
    <t>Listed co.YES/NO</t>
  </si>
  <si>
    <t>NSE/BSE</t>
  </si>
  <si>
    <t>Reliance Industries</t>
  </si>
  <si>
    <t xml:space="preserve">Energy Minerals, Oil Refining and Marketing </t>
  </si>
  <si>
    <t>YES</t>
  </si>
  <si>
    <t>BOTH</t>
  </si>
  <si>
    <t>TCS</t>
  </si>
  <si>
    <t>Technology services , Information servises</t>
  </si>
  <si>
    <t>Infosys</t>
  </si>
  <si>
    <t>HDFC Bank</t>
  </si>
  <si>
    <t>Finance  and Major Bank</t>
  </si>
  <si>
    <t>ICICI Bank</t>
  </si>
  <si>
    <t>Finanace  and Regional Banks</t>
  </si>
  <si>
    <t>State Bank of India</t>
  </si>
  <si>
    <t>Larsen &amp; Toubro</t>
  </si>
  <si>
    <t xml:space="preserve">Industrial Servises and Engineering and Constructions </t>
  </si>
  <si>
    <t>NSE</t>
  </si>
  <si>
    <t>ITC</t>
  </si>
  <si>
    <t>Consumer Non Durables and Tobacoo</t>
  </si>
  <si>
    <t>Hindustan Unilever</t>
  </si>
  <si>
    <t>Consumer  Non Durables and Household/Personal care</t>
  </si>
  <si>
    <t>Bharti Airtel</t>
  </si>
  <si>
    <t>Communications and Wireless Telecommunication</t>
  </si>
  <si>
    <t>Mahindra &amp; Mahindra</t>
  </si>
  <si>
    <t xml:space="preserve">Consumer Durables and Motor Vechiles </t>
  </si>
  <si>
    <t>Maruti Suzuki India</t>
  </si>
  <si>
    <t>Tata Motors</t>
  </si>
  <si>
    <t>Wipro</t>
  </si>
  <si>
    <t>Technology Servises and Informational Services</t>
  </si>
  <si>
    <t>Asian Paints</t>
  </si>
  <si>
    <t xml:space="preserve">Process Industries and Industrial Specialties </t>
  </si>
  <si>
    <t>Amul</t>
  </si>
  <si>
    <t>Dairy and  FMCG</t>
  </si>
  <si>
    <t>NO</t>
  </si>
  <si>
    <t>NIL</t>
  </si>
  <si>
    <t>Parle Products</t>
  </si>
  <si>
    <t>FMCG and (Biscuits &amp; Foods)</t>
  </si>
  <si>
    <t>Serum Institute of India</t>
  </si>
  <si>
    <t>Pharmaceuticals &amp; Biotechnology</t>
  </si>
  <si>
    <t>Zoho Corporation</t>
  </si>
  <si>
    <t>Informational Technology (Saas/ Software)</t>
  </si>
  <si>
    <t>Tata Sons</t>
  </si>
  <si>
    <t>Holding Company / Conglomerate</t>
  </si>
  <si>
    <t>Intas Pharmaceuticals</t>
  </si>
  <si>
    <t xml:space="preserve">Pharmaceuticals </t>
  </si>
  <si>
    <t>Dream11</t>
  </si>
  <si>
    <t>Online Gaming and Sports Technology</t>
  </si>
  <si>
    <t>Flipkart India</t>
  </si>
  <si>
    <t>E-Commerce and Retail</t>
  </si>
  <si>
    <t>boAt</t>
  </si>
  <si>
    <t>Consumer Electronics</t>
  </si>
  <si>
    <t>Razorpay</t>
  </si>
  <si>
    <t xml:space="preserve">Fintech and Digital Payments </t>
  </si>
  <si>
    <t>OYO</t>
  </si>
  <si>
    <t xml:space="preserve">Hospitality &amp; Travel Technology </t>
  </si>
  <si>
    <t>Zerodha</t>
  </si>
  <si>
    <t xml:space="preserve">Financial Servises and Stock Broking </t>
  </si>
  <si>
    <t>Meesho</t>
  </si>
  <si>
    <t>E- Commerce</t>
  </si>
  <si>
    <t>InMobi</t>
  </si>
  <si>
    <t>Advertising Technology (Ad Tech)</t>
  </si>
  <si>
    <t>Tata Capital</t>
  </si>
  <si>
    <t>NBFC / Financial Servises</t>
  </si>
  <si>
    <t>Share Price Observation Table</t>
  </si>
  <si>
    <t xml:space="preserve">Company Name </t>
  </si>
  <si>
    <t>Stock Symbole(ticker Symbole)</t>
  </si>
  <si>
    <t>Current Price</t>
  </si>
  <si>
    <t>Previous Close</t>
  </si>
  <si>
    <t xml:space="preserve">Price Change </t>
  </si>
  <si>
    <t>Price Movement</t>
  </si>
  <si>
    <t>RELIANCE</t>
  </si>
  <si>
    <t xml:space="preserve">Down </t>
  </si>
  <si>
    <t>HINDUNIL VR</t>
  </si>
  <si>
    <t>HDFC BANK</t>
  </si>
  <si>
    <t>INFT</t>
  </si>
  <si>
    <t>ICICI BANK</t>
  </si>
  <si>
    <t>HISTORICAL SAHRE PRICE ANALYSIS</t>
  </si>
  <si>
    <t xml:space="preserve">COMPANY NAME </t>
  </si>
  <si>
    <t>CURRENT PRICE</t>
  </si>
  <si>
    <t xml:space="preserve">1 YEAR </t>
  </si>
  <si>
    <t>2YEAR</t>
  </si>
  <si>
    <t>3YEAR</t>
  </si>
  <si>
    <t>4YEAR</t>
  </si>
  <si>
    <t>5YEAR</t>
  </si>
  <si>
    <t>VALUE OF 1,00,000 INVESTMENT TODAY</t>
  </si>
  <si>
    <t xml:space="preserve">AMOUNT INVESTED </t>
  </si>
  <si>
    <t>IF INVESTED 1 YEAR AGO</t>
  </si>
  <si>
    <t>2 YEARS AGO</t>
  </si>
  <si>
    <t>3 YEARS AGO</t>
  </si>
  <si>
    <t>4 YEARS AGO</t>
  </si>
  <si>
    <t>5 YEARS AGO</t>
  </si>
  <si>
    <t>COMPARISION WITH FIXED RETURN INVESTMENT</t>
  </si>
  <si>
    <t>INVESTMENT TYPE</t>
  </si>
  <si>
    <t>AMOUNT INVESTED</t>
  </si>
  <si>
    <t>YEAR 1</t>
  </si>
  <si>
    <t>YEAR 2</t>
  </si>
  <si>
    <t>YEAR 3</t>
  </si>
  <si>
    <t>YEAR 4</t>
  </si>
  <si>
    <t>YEAR 5</t>
  </si>
  <si>
    <t>SAVING ACCOUNT(3%)</t>
  </si>
  <si>
    <t>FIXED DEPOSIT (7%)</t>
  </si>
  <si>
    <t>BEST PERFORMING STOCK (tata motors)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</si>
</sst>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"/>
    <numFmt numFmtId="165" formatCode="&quot;₹&quot;\ #,##0.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6058-6E27-43F9-BA2A-15F43030C5DB}">
  <dimension ref="A1:E31"/>
  <sheetViews>
    <sheetView topLeftCell="B1" workbookViewId="0">
      <selection activeCell="B10" sqref="B10"/>
    </sheetView>
  </sheetViews>
  <sheetFormatPr defaultRowHeight="15" x14ac:dyDescent="0.25"/>
  <cols>
    <col min="1" max="1" width="9.140625" style="6"/>
    <col min="2" max="2" width="37.28515625" style="7" customWidth="1"/>
    <col min="3" max="3" width="54.42578125" style="2" customWidth="1"/>
    <col min="4" max="5" width="18.285156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1</v>
      </c>
      <c r="B2" s="4" t="s">
        <v>5</v>
      </c>
      <c r="C2" s="5" t="s">
        <v>6</v>
      </c>
      <c r="D2" s="5" t="s">
        <v>7</v>
      </c>
      <c r="E2" s="5" t="s">
        <v>8</v>
      </c>
    </row>
    <row r="3" spans="1:5" x14ac:dyDescent="0.25">
      <c r="A3" s="3">
        <v>2</v>
      </c>
      <c r="B3" s="4" t="s">
        <v>9</v>
      </c>
      <c r="C3" s="5" t="s">
        <v>10</v>
      </c>
      <c r="D3" s="5" t="s">
        <v>7</v>
      </c>
      <c r="E3" s="5" t="s">
        <v>8</v>
      </c>
    </row>
    <row r="4" spans="1:5" x14ac:dyDescent="0.25">
      <c r="A4" s="3">
        <v>3</v>
      </c>
      <c r="B4" s="4" t="s">
        <v>11</v>
      </c>
      <c r="C4" s="5" t="s">
        <v>10</v>
      </c>
      <c r="D4" s="5" t="s">
        <v>7</v>
      </c>
      <c r="E4" s="5" t="s">
        <v>8</v>
      </c>
    </row>
    <row r="5" spans="1:5" x14ac:dyDescent="0.25">
      <c r="A5" s="3">
        <v>4</v>
      </c>
      <c r="B5" s="4" t="s">
        <v>12</v>
      </c>
      <c r="C5" s="5" t="s">
        <v>13</v>
      </c>
      <c r="D5" s="5" t="s">
        <v>7</v>
      </c>
      <c r="E5" s="5" t="s">
        <v>8</v>
      </c>
    </row>
    <row r="6" spans="1:5" x14ac:dyDescent="0.25">
      <c r="A6" s="3">
        <v>5</v>
      </c>
      <c r="B6" s="4" t="s">
        <v>14</v>
      </c>
      <c r="C6" s="5" t="s">
        <v>15</v>
      </c>
      <c r="D6" s="5" t="s">
        <v>7</v>
      </c>
      <c r="E6" s="5" t="s">
        <v>8</v>
      </c>
    </row>
    <row r="7" spans="1:5" x14ac:dyDescent="0.25">
      <c r="A7" s="3">
        <v>6</v>
      </c>
      <c r="B7" s="4" t="s">
        <v>16</v>
      </c>
      <c r="C7" s="5" t="s">
        <v>15</v>
      </c>
      <c r="D7" s="5" t="s">
        <v>7</v>
      </c>
      <c r="E7" s="5" t="s">
        <v>8</v>
      </c>
    </row>
    <row r="8" spans="1:5" x14ac:dyDescent="0.25">
      <c r="A8" s="3">
        <v>7</v>
      </c>
      <c r="B8" s="4" t="s">
        <v>17</v>
      </c>
      <c r="C8" s="5" t="s">
        <v>18</v>
      </c>
      <c r="D8" s="5" t="s">
        <v>7</v>
      </c>
      <c r="E8" s="5" t="s">
        <v>19</v>
      </c>
    </row>
    <row r="9" spans="1:5" x14ac:dyDescent="0.25">
      <c r="A9" s="3">
        <v>8</v>
      </c>
      <c r="B9" s="4" t="s">
        <v>20</v>
      </c>
      <c r="C9" s="5" t="s">
        <v>21</v>
      </c>
      <c r="D9" s="5" t="s">
        <v>7</v>
      </c>
      <c r="E9" s="5" t="s">
        <v>8</v>
      </c>
    </row>
    <row r="10" spans="1:5" x14ac:dyDescent="0.25">
      <c r="A10" s="3">
        <v>9</v>
      </c>
      <c r="B10" s="4" t="s">
        <v>22</v>
      </c>
      <c r="C10" s="5" t="s">
        <v>23</v>
      </c>
      <c r="D10" s="5" t="s">
        <v>7</v>
      </c>
      <c r="E10" s="5" t="s">
        <v>8</v>
      </c>
    </row>
    <row r="11" spans="1:5" x14ac:dyDescent="0.25">
      <c r="A11" s="3">
        <v>10</v>
      </c>
      <c r="B11" s="4" t="s">
        <v>24</v>
      </c>
      <c r="C11" s="5" t="s">
        <v>25</v>
      </c>
      <c r="D11" s="5" t="s">
        <v>7</v>
      </c>
      <c r="E11" s="5" t="s">
        <v>8</v>
      </c>
    </row>
    <row r="12" spans="1:5" x14ac:dyDescent="0.25">
      <c r="A12" s="3">
        <v>11</v>
      </c>
      <c r="B12" s="4" t="s">
        <v>26</v>
      </c>
      <c r="C12" s="5" t="s">
        <v>27</v>
      </c>
      <c r="D12" s="5" t="s">
        <v>7</v>
      </c>
      <c r="E12" s="5" t="s">
        <v>8</v>
      </c>
    </row>
    <row r="13" spans="1:5" x14ac:dyDescent="0.25">
      <c r="A13" s="3">
        <v>12</v>
      </c>
      <c r="B13" s="4" t="s">
        <v>28</v>
      </c>
      <c r="C13" s="5" t="s">
        <v>27</v>
      </c>
      <c r="D13" s="5" t="s">
        <v>7</v>
      </c>
      <c r="E13" s="5" t="s">
        <v>8</v>
      </c>
    </row>
    <row r="14" spans="1:5" x14ac:dyDescent="0.25">
      <c r="A14" s="3">
        <v>13</v>
      </c>
      <c r="B14" s="4" t="s">
        <v>29</v>
      </c>
      <c r="C14" s="5" t="s">
        <v>27</v>
      </c>
      <c r="D14" s="5" t="s">
        <v>7</v>
      </c>
      <c r="E14" s="5" t="s">
        <v>8</v>
      </c>
    </row>
    <row r="15" spans="1:5" x14ac:dyDescent="0.25">
      <c r="A15" s="3">
        <v>14</v>
      </c>
      <c r="B15" s="4" t="s">
        <v>30</v>
      </c>
      <c r="C15" s="5" t="s">
        <v>31</v>
      </c>
      <c r="D15" s="5" t="s">
        <v>7</v>
      </c>
      <c r="E15" s="5" t="s">
        <v>8</v>
      </c>
    </row>
    <row r="16" spans="1:5" x14ac:dyDescent="0.25">
      <c r="A16" s="3">
        <v>15</v>
      </c>
      <c r="B16" s="4" t="s">
        <v>32</v>
      </c>
      <c r="C16" s="5" t="s">
        <v>33</v>
      </c>
      <c r="D16" s="5" t="s">
        <v>7</v>
      </c>
      <c r="E16" s="5" t="s">
        <v>8</v>
      </c>
    </row>
    <row r="17" spans="1:5" x14ac:dyDescent="0.25">
      <c r="A17" s="3">
        <v>16</v>
      </c>
      <c r="B17" s="4" t="s">
        <v>34</v>
      </c>
      <c r="C17" s="5" t="s">
        <v>35</v>
      </c>
      <c r="D17" s="5" t="s">
        <v>36</v>
      </c>
      <c r="E17" s="5" t="s">
        <v>37</v>
      </c>
    </row>
    <row r="18" spans="1:5" x14ac:dyDescent="0.25">
      <c r="A18" s="3">
        <v>17</v>
      </c>
      <c r="B18" s="4" t="s">
        <v>38</v>
      </c>
      <c r="C18" s="5" t="s">
        <v>39</v>
      </c>
      <c r="D18" s="5" t="s">
        <v>36</v>
      </c>
      <c r="E18" s="5" t="s">
        <v>37</v>
      </c>
    </row>
    <row r="19" spans="1:5" x14ac:dyDescent="0.25">
      <c r="A19" s="3">
        <v>18</v>
      </c>
      <c r="B19" s="4" t="s">
        <v>40</v>
      </c>
      <c r="C19" s="5" t="s">
        <v>41</v>
      </c>
      <c r="D19" s="5" t="s">
        <v>36</v>
      </c>
      <c r="E19" s="5" t="s">
        <v>37</v>
      </c>
    </row>
    <row r="20" spans="1:5" x14ac:dyDescent="0.25">
      <c r="A20" s="3">
        <v>19</v>
      </c>
      <c r="B20" s="4" t="s">
        <v>42</v>
      </c>
      <c r="C20" s="5" t="s">
        <v>43</v>
      </c>
      <c r="D20" s="5" t="s">
        <v>36</v>
      </c>
      <c r="E20" s="5" t="s">
        <v>37</v>
      </c>
    </row>
    <row r="21" spans="1:5" x14ac:dyDescent="0.25">
      <c r="A21" s="3">
        <v>20</v>
      </c>
      <c r="B21" s="4" t="s">
        <v>44</v>
      </c>
      <c r="C21" s="5" t="s">
        <v>45</v>
      </c>
      <c r="D21" s="5" t="s">
        <v>36</v>
      </c>
      <c r="E21" s="5" t="s">
        <v>37</v>
      </c>
    </row>
    <row r="22" spans="1:5" x14ac:dyDescent="0.25">
      <c r="A22" s="3">
        <v>21</v>
      </c>
      <c r="B22" s="4" t="s">
        <v>46</v>
      </c>
      <c r="C22" s="5" t="s">
        <v>47</v>
      </c>
      <c r="D22" s="5" t="s">
        <v>36</v>
      </c>
      <c r="E22" s="5" t="s">
        <v>37</v>
      </c>
    </row>
    <row r="23" spans="1:5" x14ac:dyDescent="0.25">
      <c r="A23" s="3">
        <v>22</v>
      </c>
      <c r="B23" s="4" t="s">
        <v>48</v>
      </c>
      <c r="C23" s="5" t="s">
        <v>49</v>
      </c>
      <c r="D23" s="5" t="s">
        <v>36</v>
      </c>
      <c r="E23" s="5" t="s">
        <v>37</v>
      </c>
    </row>
    <row r="24" spans="1:5" x14ac:dyDescent="0.25">
      <c r="A24" s="3">
        <v>23</v>
      </c>
      <c r="B24" s="4" t="s">
        <v>50</v>
      </c>
      <c r="C24" s="5" t="s">
        <v>51</v>
      </c>
      <c r="D24" s="5" t="s">
        <v>36</v>
      </c>
      <c r="E24" s="5" t="s">
        <v>37</v>
      </c>
    </row>
    <row r="25" spans="1:5" x14ac:dyDescent="0.25">
      <c r="A25" s="3">
        <v>24</v>
      </c>
      <c r="B25" s="4" t="s">
        <v>52</v>
      </c>
      <c r="C25" s="5" t="s">
        <v>53</v>
      </c>
      <c r="D25" s="5" t="s">
        <v>36</v>
      </c>
      <c r="E25" s="5" t="s">
        <v>37</v>
      </c>
    </row>
    <row r="26" spans="1:5" x14ac:dyDescent="0.25">
      <c r="A26" s="3">
        <v>25</v>
      </c>
      <c r="B26" s="4" t="s">
        <v>54</v>
      </c>
      <c r="C26" s="5" t="s">
        <v>55</v>
      </c>
      <c r="D26" s="5" t="s">
        <v>36</v>
      </c>
      <c r="E26" s="5" t="s">
        <v>37</v>
      </c>
    </row>
    <row r="27" spans="1:5" x14ac:dyDescent="0.25">
      <c r="A27" s="3">
        <v>26</v>
      </c>
      <c r="B27" s="4" t="s">
        <v>56</v>
      </c>
      <c r="C27" s="5" t="s">
        <v>57</v>
      </c>
      <c r="D27" s="5" t="s">
        <v>36</v>
      </c>
      <c r="E27" s="5" t="s">
        <v>37</v>
      </c>
    </row>
    <row r="28" spans="1:5" x14ac:dyDescent="0.25">
      <c r="A28" s="3">
        <v>27</v>
      </c>
      <c r="B28" s="4" t="s">
        <v>58</v>
      </c>
      <c r="C28" s="5" t="s">
        <v>59</v>
      </c>
      <c r="D28" s="5" t="s">
        <v>36</v>
      </c>
      <c r="E28" s="5" t="s">
        <v>37</v>
      </c>
    </row>
    <row r="29" spans="1:5" x14ac:dyDescent="0.25">
      <c r="A29" s="3">
        <v>28</v>
      </c>
      <c r="B29" s="4" t="s">
        <v>60</v>
      </c>
      <c r="C29" s="5" t="s">
        <v>61</v>
      </c>
      <c r="D29" s="5" t="s">
        <v>36</v>
      </c>
      <c r="E29" s="5" t="s">
        <v>37</v>
      </c>
    </row>
    <row r="30" spans="1:5" x14ac:dyDescent="0.25">
      <c r="A30" s="3">
        <v>29</v>
      </c>
      <c r="B30" s="4" t="s">
        <v>62</v>
      </c>
      <c r="C30" s="5" t="s">
        <v>63</v>
      </c>
      <c r="D30" s="5" t="s">
        <v>36</v>
      </c>
      <c r="E30" s="5" t="s">
        <v>37</v>
      </c>
    </row>
    <row r="31" spans="1:5" x14ac:dyDescent="0.25">
      <c r="A31" s="3">
        <v>30</v>
      </c>
      <c r="B31" s="4" t="s">
        <v>64</v>
      </c>
      <c r="C31" s="5" t="s">
        <v>65</v>
      </c>
      <c r="D31" s="5" t="s">
        <v>36</v>
      </c>
      <c r="E31" s="5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5117-DEED-4952-83CC-CAB913DD6209}">
  <dimension ref="A1:G7"/>
  <sheetViews>
    <sheetView workbookViewId="0">
      <selection activeCell="B3" sqref="B3:B7"/>
    </sheetView>
  </sheetViews>
  <sheetFormatPr defaultRowHeight="15" x14ac:dyDescent="0.25"/>
  <cols>
    <col min="1" max="1" width="9.140625" style="2"/>
    <col min="2" max="2" width="36.85546875" style="2" customWidth="1"/>
    <col min="3" max="3" width="31.28515625" style="2" customWidth="1"/>
    <col min="4" max="4" width="17.7109375" style="2" customWidth="1"/>
    <col min="5" max="6" width="18.42578125" style="2" customWidth="1"/>
    <col min="7" max="7" width="18.140625" style="2" customWidth="1"/>
    <col min="8" max="16384" width="9.140625" style="2"/>
  </cols>
  <sheetData>
    <row r="1" spans="1:7" x14ac:dyDescent="0.25">
      <c r="A1" s="18" t="s">
        <v>66</v>
      </c>
      <c r="B1" s="18"/>
      <c r="C1" s="18"/>
      <c r="D1" s="18"/>
      <c r="E1" s="18"/>
      <c r="F1" s="18"/>
      <c r="G1" s="18"/>
    </row>
    <row r="2" spans="1:7" x14ac:dyDescent="0.25">
      <c r="A2" s="12" t="s">
        <v>0</v>
      </c>
      <c r="B2" s="12" t="s">
        <v>67</v>
      </c>
      <c r="C2" s="12" t="s">
        <v>68</v>
      </c>
      <c r="D2" s="12" t="s">
        <v>69</v>
      </c>
      <c r="E2" s="12" t="s">
        <v>70</v>
      </c>
      <c r="F2" s="12" t="s">
        <v>71</v>
      </c>
      <c r="G2" s="12" t="s">
        <v>72</v>
      </c>
    </row>
    <row r="3" spans="1:7" x14ac:dyDescent="0.25">
      <c r="A3" s="11">
        <v>1</v>
      </c>
      <c r="B3" s="5" t="s">
        <v>5</v>
      </c>
      <c r="C3" s="5" t="s">
        <v>73</v>
      </c>
      <c r="D3" s="8">
        <v>1306.3</v>
      </c>
      <c r="E3" s="8">
        <v>1319</v>
      </c>
      <c r="F3" s="8">
        <f>D3-E3</f>
        <v>-12.700000000000045</v>
      </c>
      <c r="G3" s="5" t="s">
        <v>74</v>
      </c>
    </row>
    <row r="4" spans="1:7" x14ac:dyDescent="0.25">
      <c r="A4" s="11">
        <v>2</v>
      </c>
      <c r="B4" s="4" t="s">
        <v>22</v>
      </c>
      <c r="C4" s="5" t="s">
        <v>75</v>
      </c>
      <c r="D4" s="9">
        <v>2107.8000000000002</v>
      </c>
      <c r="E4" s="8">
        <v>2138</v>
      </c>
      <c r="F4" s="10">
        <f>D4-E4</f>
        <v>-30.199999999999818</v>
      </c>
      <c r="G4" s="5" t="s">
        <v>74</v>
      </c>
    </row>
    <row r="5" spans="1:7" x14ac:dyDescent="0.25">
      <c r="A5" s="11">
        <v>3</v>
      </c>
      <c r="B5" s="5" t="s">
        <v>12</v>
      </c>
      <c r="C5" s="5" t="s">
        <v>76</v>
      </c>
      <c r="D5" s="5">
        <v>747.35</v>
      </c>
      <c r="E5" s="5">
        <v>753</v>
      </c>
      <c r="F5" s="5">
        <f>D5-E5</f>
        <v>-5.6499999999999773</v>
      </c>
      <c r="G5" s="5" t="s">
        <v>74</v>
      </c>
    </row>
    <row r="6" spans="1:7" x14ac:dyDescent="0.25">
      <c r="A6" s="11">
        <v>4</v>
      </c>
      <c r="B6" s="5" t="s">
        <v>11</v>
      </c>
      <c r="C6" s="5" t="s">
        <v>77</v>
      </c>
      <c r="D6" s="9">
        <v>1157.8</v>
      </c>
      <c r="E6" s="5">
        <v>1180</v>
      </c>
      <c r="F6" s="9">
        <f>D6-E6</f>
        <v>-22.200000000000045</v>
      </c>
      <c r="G6" s="5" t="s">
        <v>74</v>
      </c>
    </row>
    <row r="7" spans="1:7" x14ac:dyDescent="0.25">
      <c r="A7" s="11">
        <v>5</v>
      </c>
      <c r="B7" s="5" t="s">
        <v>14</v>
      </c>
      <c r="C7" s="5" t="s">
        <v>78</v>
      </c>
      <c r="D7" s="9">
        <v>1450.5</v>
      </c>
      <c r="E7" s="5">
        <v>1460</v>
      </c>
      <c r="F7" s="9">
        <f>D7-E7</f>
        <v>-9.5</v>
      </c>
      <c r="G7" s="5" t="s">
        <v>74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A8E3-0099-4F44-8657-C2DF14735F4C}">
  <dimension ref="A1:G23"/>
  <sheetViews>
    <sheetView tabSelected="1" topLeftCell="A10" workbookViewId="0">
      <selection activeCell="L10" sqref="L10"/>
    </sheetView>
  </sheetViews>
  <sheetFormatPr defaultRowHeight="15" x14ac:dyDescent="0.25"/>
  <cols>
    <col min="1" max="1" width="18.140625" customWidth="1"/>
    <col min="2" max="2" width="24.7109375" customWidth="1"/>
    <col min="3" max="3" width="22.28515625" bestFit="1" customWidth="1"/>
    <col min="4" max="7" width="12" bestFit="1" customWidth="1"/>
  </cols>
  <sheetData>
    <row r="1" spans="1:7" ht="29.25" customHeight="1" x14ac:dyDescent="0.5">
      <c r="A1" s="17" t="s">
        <v>79</v>
      </c>
      <c r="B1" s="17"/>
      <c r="C1" s="17"/>
      <c r="D1" s="17"/>
      <c r="E1" s="17"/>
      <c r="F1" s="17"/>
      <c r="G1" s="17"/>
    </row>
    <row r="2" spans="1:7" x14ac:dyDescent="0.25">
      <c r="A2" s="15" t="s">
        <v>80</v>
      </c>
      <c r="B2" s="15" t="s">
        <v>81</v>
      </c>
      <c r="C2" s="15" t="s">
        <v>82</v>
      </c>
      <c r="D2" s="15" t="s">
        <v>83</v>
      </c>
      <c r="E2" s="15" t="s">
        <v>84</v>
      </c>
      <c r="F2" s="15" t="s">
        <v>85</v>
      </c>
      <c r="G2" s="15" t="s">
        <v>86</v>
      </c>
    </row>
    <row r="3" spans="1:7" x14ac:dyDescent="0.25">
      <c r="A3" s="5" t="s">
        <v>5</v>
      </c>
      <c r="B3" s="14">
        <v>1303.3</v>
      </c>
      <c r="C3" s="14">
        <v>1392.8</v>
      </c>
      <c r="D3" s="14">
        <v>1456.05</v>
      </c>
      <c r="E3" s="14">
        <v>1254.78</v>
      </c>
      <c r="F3" s="14">
        <v>1169.44</v>
      </c>
      <c r="G3" s="14">
        <v>964.1</v>
      </c>
    </row>
    <row r="4" spans="1:7" x14ac:dyDescent="0.25">
      <c r="A4" s="4" t="s">
        <v>22</v>
      </c>
      <c r="B4" s="14">
        <v>2091</v>
      </c>
      <c r="C4" s="14">
        <v>2535.6</v>
      </c>
      <c r="D4" s="14">
        <v>2750.05</v>
      </c>
      <c r="E4" s="14">
        <v>2546</v>
      </c>
      <c r="F4" s="14">
        <v>2645.4</v>
      </c>
      <c r="G4" s="14">
        <v>2371.5</v>
      </c>
    </row>
    <row r="5" spans="1:7" x14ac:dyDescent="0.25">
      <c r="A5" s="5" t="s">
        <v>12</v>
      </c>
      <c r="B5" s="14">
        <v>23.85</v>
      </c>
      <c r="C5" s="14">
        <v>37.94</v>
      </c>
      <c r="D5" s="14">
        <v>29.18</v>
      </c>
      <c r="E5" s="14">
        <v>33.42</v>
      </c>
      <c r="F5" s="14">
        <v>31.41</v>
      </c>
      <c r="G5" s="14">
        <v>36.979999999999997</v>
      </c>
    </row>
    <row r="6" spans="1:7" x14ac:dyDescent="0.25">
      <c r="A6" s="5" t="s">
        <v>11</v>
      </c>
      <c r="B6" s="14">
        <v>12.48</v>
      </c>
      <c r="C6" s="14">
        <v>16.07</v>
      </c>
      <c r="D6" s="14">
        <v>20.99</v>
      </c>
      <c r="E6" s="14">
        <v>16.71</v>
      </c>
      <c r="F6" s="14">
        <v>20.309999999999999</v>
      </c>
      <c r="G6" s="14">
        <v>22.81</v>
      </c>
    </row>
    <row r="7" spans="1:7" x14ac:dyDescent="0.25">
      <c r="A7" s="5" t="s">
        <v>14</v>
      </c>
      <c r="B7" s="14">
        <v>30.4</v>
      </c>
      <c r="C7" s="14">
        <v>32.97</v>
      </c>
      <c r="D7" s="14">
        <v>27.84</v>
      </c>
      <c r="E7" s="14">
        <v>23.55</v>
      </c>
      <c r="F7" s="14">
        <v>21.21</v>
      </c>
      <c r="G7" s="14">
        <v>19.07</v>
      </c>
    </row>
    <row r="10" spans="1:7" ht="32.25" customHeight="1" x14ac:dyDescent="0.5">
      <c r="A10" s="17" t="s">
        <v>87</v>
      </c>
      <c r="B10" s="17"/>
      <c r="C10" s="17"/>
      <c r="D10" s="17"/>
      <c r="E10" s="17"/>
      <c r="F10" s="17"/>
      <c r="G10" s="17"/>
    </row>
    <row r="11" spans="1:7" ht="29.25" customHeight="1" x14ac:dyDescent="0.25">
      <c r="A11" s="15" t="s">
        <v>80</v>
      </c>
      <c r="B11" s="15" t="s">
        <v>88</v>
      </c>
      <c r="C11" s="15" t="s">
        <v>89</v>
      </c>
      <c r="D11" s="15" t="s">
        <v>90</v>
      </c>
      <c r="E11" s="15" t="s">
        <v>91</v>
      </c>
      <c r="F11" s="15" t="s">
        <v>92</v>
      </c>
      <c r="G11" s="15" t="s">
        <v>93</v>
      </c>
    </row>
    <row r="12" spans="1:7" x14ac:dyDescent="0.25">
      <c r="A12" s="5" t="s">
        <v>5</v>
      </c>
      <c r="B12" s="14">
        <v>100000</v>
      </c>
      <c r="C12" s="14">
        <f>B3*B12/C3</f>
        <v>93574.095347501439</v>
      </c>
      <c r="D12" s="14">
        <f>B3*B12/D3</f>
        <v>89509.288829367128</v>
      </c>
      <c r="E12" s="14">
        <f>B3*B12/E3</f>
        <v>103866.81330591817</v>
      </c>
      <c r="F12" s="14">
        <f>B3*B12/F3</f>
        <v>111446.5043097551</v>
      </c>
      <c r="G12" s="14">
        <f>B3*B12/G3</f>
        <v>135183.07229540503</v>
      </c>
    </row>
    <row r="13" spans="1:7" x14ac:dyDescent="0.25">
      <c r="A13" s="4" t="s">
        <v>22</v>
      </c>
      <c r="B13" s="14">
        <v>100000</v>
      </c>
      <c r="C13" s="14">
        <f t="shared" ref="C13:C15" si="0">B4*B13/C4</f>
        <v>82465.688594415522</v>
      </c>
      <c r="D13" s="14">
        <f t="shared" ref="D13:D16" si="1">B4*B13/D4</f>
        <v>76034.981182160322</v>
      </c>
      <c r="E13" s="14">
        <f t="shared" ref="E13:E16" si="2">B4*B13/E4</f>
        <v>82128.82953652789</v>
      </c>
      <c r="F13" s="14">
        <f t="shared" ref="F13:F16" si="3">B4*B13/F4</f>
        <v>79042.866863234289</v>
      </c>
      <c r="G13" s="14">
        <f t="shared" ref="G13:G15" si="4">B4*B13/G4</f>
        <v>88172.043010752692</v>
      </c>
    </row>
    <row r="14" spans="1:7" x14ac:dyDescent="0.25">
      <c r="A14" s="5" t="s">
        <v>12</v>
      </c>
      <c r="B14" s="14">
        <v>100000</v>
      </c>
      <c r="C14" s="14">
        <f t="shared" si="0"/>
        <v>62862.414338429102</v>
      </c>
      <c r="D14" s="14">
        <f t="shared" si="1"/>
        <v>81734.064427690202</v>
      </c>
      <c r="E14" s="14">
        <f t="shared" si="2"/>
        <v>71364.452423698385</v>
      </c>
      <c r="F14" s="14">
        <f t="shared" si="3"/>
        <v>75931.232091690545</v>
      </c>
      <c r="G14" s="14">
        <f t="shared" si="4"/>
        <v>64494.321254732291</v>
      </c>
    </row>
    <row r="15" spans="1:7" x14ac:dyDescent="0.25">
      <c r="A15" s="5" t="s">
        <v>11</v>
      </c>
      <c r="B15" s="14">
        <v>100000</v>
      </c>
      <c r="C15" s="14">
        <f t="shared" si="0"/>
        <v>77660.236465463589</v>
      </c>
      <c r="D15" s="14">
        <f t="shared" si="1"/>
        <v>59456.884230585994</v>
      </c>
      <c r="E15" s="14">
        <f t="shared" si="2"/>
        <v>74685.816876122073</v>
      </c>
      <c r="F15" s="14">
        <f t="shared" si="3"/>
        <v>61447.562776957166</v>
      </c>
      <c r="G15" s="14">
        <f t="shared" si="4"/>
        <v>54712.845243314339</v>
      </c>
    </row>
    <row r="16" spans="1:7" x14ac:dyDescent="0.25">
      <c r="A16" s="5" t="s">
        <v>14</v>
      </c>
      <c r="B16" s="14">
        <v>100000</v>
      </c>
      <c r="C16" s="14">
        <f>B7*B16/C7</f>
        <v>92205.034880194115</v>
      </c>
      <c r="D16" s="14">
        <f t="shared" si="1"/>
        <v>109195.40229885057</v>
      </c>
      <c r="E16" s="14">
        <f t="shared" si="2"/>
        <v>129087.04883227176</v>
      </c>
      <c r="F16" s="14">
        <f t="shared" si="3"/>
        <v>143328.61857614332</v>
      </c>
      <c r="G16" s="14">
        <f>B7*B16/G7</f>
        <v>159412.69008914524</v>
      </c>
    </row>
    <row r="19" spans="1:7" ht="32.25" customHeight="1" x14ac:dyDescent="0.5">
      <c r="A19" s="17" t="s">
        <v>94</v>
      </c>
      <c r="B19" s="17"/>
      <c r="C19" s="17"/>
      <c r="D19" s="17"/>
      <c r="E19" s="17"/>
      <c r="F19" s="17"/>
      <c r="G19" s="17"/>
    </row>
    <row r="20" spans="1:7" x14ac:dyDescent="0.25">
      <c r="A20" s="13" t="s">
        <v>95</v>
      </c>
      <c r="B20" s="13" t="s">
        <v>96</v>
      </c>
      <c r="C20" s="13" t="s">
        <v>97</v>
      </c>
      <c r="D20" s="13" t="s">
        <v>98</v>
      </c>
      <c r="E20" s="13" t="s">
        <v>99</v>
      </c>
      <c r="F20" s="13" t="s">
        <v>100</v>
      </c>
      <c r="G20" s="13" t="s">
        <v>101</v>
      </c>
    </row>
    <row r="21" spans="1:7" ht="30" x14ac:dyDescent="0.25">
      <c r="A21" s="16" t="s">
        <v>102</v>
      </c>
      <c r="B21" s="14">
        <v>100000</v>
      </c>
      <c r="C21" s="14">
        <f>C23*3%</f>
        <v>2766.1510464058233</v>
      </c>
      <c r="D21" s="14">
        <f t="shared" ref="D21:G21" si="5">D23*3%</f>
        <v>3275.8620689655172</v>
      </c>
      <c r="E21" s="14">
        <f t="shared" si="5"/>
        <v>3872.6114649681526</v>
      </c>
      <c r="F21" s="14">
        <f t="shared" si="5"/>
        <v>4299.8585572842994</v>
      </c>
      <c r="G21" s="14">
        <f t="shared" si="5"/>
        <v>4782.3807026743571</v>
      </c>
    </row>
    <row r="22" spans="1:7" x14ac:dyDescent="0.25">
      <c r="A22" s="13" t="s">
        <v>103</v>
      </c>
      <c r="B22" s="14">
        <v>100000</v>
      </c>
      <c r="C22" s="14">
        <f>C23*7%</f>
        <v>6454.3524416135888</v>
      </c>
      <c r="D22" s="14">
        <f t="shared" ref="D22:F22" si="6">D23*7%</f>
        <v>7643.6781609195414</v>
      </c>
      <c r="E22" s="14">
        <f t="shared" si="6"/>
        <v>9036.0934182590245</v>
      </c>
      <c r="F22" s="14">
        <f t="shared" si="6"/>
        <v>10033.003300330032</v>
      </c>
      <c r="G22" s="14">
        <f>G23*7%</f>
        <v>11158.888306240167</v>
      </c>
    </row>
    <row r="23" spans="1:7" ht="45" x14ac:dyDescent="0.25">
      <c r="A23" s="16" t="s">
        <v>104</v>
      </c>
      <c r="B23" s="14">
        <v>100000</v>
      </c>
      <c r="C23" s="14">
        <v>92205.034880194115</v>
      </c>
      <c r="D23" s="14">
        <v>109195.40229885057</v>
      </c>
      <c r="E23" s="14">
        <v>129087.04883227176</v>
      </c>
      <c r="F23" s="14">
        <v>143328.61857614332</v>
      </c>
      <c r="G23" s="14">
        <v>159412.69008914524</v>
      </c>
    </row>
  </sheetData>
  <mergeCells count="3">
    <mergeCell ref="A1:G1"/>
    <mergeCell ref="A10:G10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Share Price Observation table</vt:lpstr>
      <vt:lpstr>Comparing Invesetment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Kumar K</dc:creator>
  <cp:keywords/>
  <dc:description/>
  <cp:lastModifiedBy>Manoj Kumar K</cp:lastModifiedBy>
  <cp:revision/>
  <dcterms:created xsi:type="dcterms:W3CDTF">2026-07-23T03:59:22Z</dcterms:created>
  <dcterms:modified xsi:type="dcterms:W3CDTF">2026-09-24T18:57:39Z</dcterms:modified>
  <cp:category/>
  <cp:contentStatus/>
</cp:coreProperties>
</file>